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D\fianarana\ProjetS5Final\"/>
    </mc:Choice>
  </mc:AlternateContent>
  <xr:revisionPtr revIDLastSave="0" documentId="13_ncr:1_{4CAF9C20-A066-446C-9BC3-684183E8737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roupe" sheetId="1" r:id="rId1"/>
    <sheet name="liste des taches" sheetId="2" r:id="rId2"/>
    <sheet name="Recap" sheetId="3" r:id="rId3"/>
    <sheet name="avancement" sheetId="4" r:id="rId4"/>
    <sheet name="detail_avancement" sheetId="5" r:id="rId5"/>
  </sheet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5" l="1"/>
  <c r="I10" i="2" s="1"/>
  <c r="B9" i="5"/>
  <c r="I9" i="2" s="1"/>
  <c r="K9" i="2" s="1"/>
  <c r="B8" i="5"/>
  <c r="I8" i="2" s="1"/>
  <c r="K8" i="2" s="1"/>
  <c r="B7" i="5"/>
  <c r="I7" i="2" s="1"/>
  <c r="B6" i="5"/>
  <c r="I6" i="2" s="1"/>
  <c r="B5" i="5"/>
  <c r="I5" i="2" s="1"/>
  <c r="B4" i="5"/>
  <c r="I4" i="2" s="1"/>
  <c r="B3" i="5"/>
  <c r="I3" i="2" s="1"/>
  <c r="B2" i="5"/>
  <c r="I2" i="2" s="1"/>
  <c r="A2" i="4"/>
  <c r="J3" i="2" l="1"/>
  <c r="K3" i="2" s="1"/>
  <c r="J4" i="2"/>
  <c r="K4" i="2" s="1"/>
  <c r="J6" i="2"/>
  <c r="K6" i="2" s="1"/>
  <c r="J7" i="2"/>
  <c r="K7" i="2" s="1"/>
  <c r="J2" i="2"/>
  <c r="B2" i="4"/>
  <c r="J5" i="2"/>
  <c r="K5" i="2" s="1"/>
  <c r="J10" i="2"/>
  <c r="K10" i="2" s="1"/>
  <c r="C2" i="4" l="1"/>
  <c r="C3" i="4" s="1"/>
  <c r="K2" i="2"/>
  <c r="E2" i="4"/>
  <c r="D2" i="4"/>
  <c r="B12" i="3" s="1"/>
</calcChain>
</file>

<file path=xl/sharedStrings.xml><?xml version="1.0" encoding="utf-8"?>
<sst xmlns="http://schemas.openxmlformats.org/spreadsheetml/2006/main" count="93" uniqueCount="48">
  <si>
    <t>ETU00XXXX</t>
  </si>
  <si>
    <t>A</t>
  </si>
  <si>
    <t>ETU00YYYY</t>
  </si>
  <si>
    <t>B</t>
  </si>
  <si>
    <t>ETU00ZZZZ</t>
  </si>
  <si>
    <t>C</t>
  </si>
  <si>
    <t>ETU00WWWW</t>
  </si>
  <si>
    <t>Ligne</t>
  </si>
  <si>
    <t>Catégorie</t>
  </si>
  <si>
    <t>Module</t>
  </si>
  <si>
    <t>Page</t>
  </si>
  <si>
    <t>Description tâche</t>
  </si>
  <si>
    <t>Type</t>
  </si>
  <si>
    <t>Qui</t>
  </si>
  <si>
    <t>Estimation</t>
  </si>
  <si>
    <t>Temps passé</t>
  </si>
  <si>
    <t>Reste à faire</t>
  </si>
  <si>
    <t>Avancement</t>
  </si>
  <si>
    <t>Backoffice</t>
  </si>
  <si>
    <t>Gestion Login</t>
  </si>
  <si>
    <t>Index</t>
  </si>
  <si>
    <t>Création html</t>
  </si>
  <si>
    <t>Affichage</t>
  </si>
  <si>
    <t>Design css</t>
  </si>
  <si>
    <t>Metier</t>
  </si>
  <si>
    <t>checkLogin</t>
  </si>
  <si>
    <t>Integration</t>
  </si>
  <si>
    <t>Gestion Categorie</t>
  </si>
  <si>
    <t>Categorie</t>
  </si>
  <si>
    <t>table login</t>
  </si>
  <si>
    <t>données test</t>
  </si>
  <si>
    <t>Liste</t>
  </si>
  <si>
    <t>Categorie-add</t>
  </si>
  <si>
    <t>Ajout</t>
  </si>
  <si>
    <t>Base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</si>
  <si>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</si>
  <si>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</si>
  <si>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</si>
  <si>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</si>
  <si>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</si>
  <si>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</si>
  <si>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</si>
  <si>
    <t/>
  </si>
  <si>
    <t>SUM of Estimation</t>
  </si>
  <si>
    <t>SUM of Temps passé</t>
  </si>
  <si>
    <t>SUM of Reste à faire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</si>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</sst>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3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000000"/>
      <name val="Arial"/>
    </font>
    <font>
      <b/>
      <sz val="11"/>
      <color rgb="FF000000"/>
      <name val="Liberation Serif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Liberation Serif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ptos Narrow"/>
    </font>
    <font>
      <sz val="12"/>
      <color theme="1"/>
      <name val="Aptos Narrow"/>
    </font>
    <font>
      <b/>
      <sz val="12"/>
      <color theme="1"/>
      <name val="Arial"/>
    </font>
    <font>
      <sz val="1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horizontal="right"/>
    </xf>
    <xf numFmtId="10" fontId="5" fillId="0" borderId="1" xfId="0" applyNumberFormat="1" applyFont="1" applyBorder="1" applyAlignment="1">
      <alignment horizontal="right"/>
    </xf>
    <xf numFmtId="0" fontId="4" fillId="0" borderId="0" xfId="0" applyFont="1"/>
    <xf numFmtId="0" fontId="7" fillId="0" borderId="0" xfId="0" applyFont="1"/>
    <xf numFmtId="0" fontId="8" fillId="3" borderId="0" xfId="0" applyFont="1" applyFill="1"/>
    <xf numFmtId="10" fontId="8" fillId="3" borderId="0" xfId="0" applyNumberFormat="1" applyFont="1" applyFill="1"/>
    <xf numFmtId="0" fontId="9" fillId="4" borderId="2" xfId="0" applyFont="1" applyFill="1" applyBorder="1"/>
    <xf numFmtId="0" fontId="10" fillId="0" borderId="0" xfId="0" applyFont="1" applyAlignment="1">
      <alignment horizontal="right"/>
    </xf>
    <xf numFmtId="10" fontId="10" fillId="0" borderId="0" xfId="0" applyNumberFormat="1" applyFont="1" applyAlignment="1">
      <alignment horizontal="right"/>
    </xf>
    <xf numFmtId="9" fontId="10" fillId="0" borderId="0" xfId="0" applyNumberFormat="1" applyFont="1" applyAlignment="1">
      <alignment horizontal="right"/>
    </xf>
    <xf numFmtId="0" fontId="10" fillId="0" borderId="0" xfId="0" applyFont="1"/>
    <xf numFmtId="0" fontId="11" fillId="4" borderId="0" xfId="0" applyFont="1" applyFill="1"/>
    <xf numFmtId="0" fontId="11" fillId="0" borderId="0" xfId="0" applyFont="1"/>
    <xf numFmtId="164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/>
    <xf numFmtId="0" fontId="0" fillId="0" borderId="3" xfId="0" applyBorder="1"/>
    <xf numFmtId="0" fontId="0" fillId="0" borderId="3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Border="1"/>
    <xf numFmtId="0" fontId="0" fillId="0" borderId="8" xfId="0" applyNumberFormat="1" applyBorder="1"/>
    <xf numFmtId="0" fontId="0" fillId="0" borderId="2" xfId="0" applyNumberFormat="1" applyBorder="1"/>
    <xf numFmtId="0" fontId="0" fillId="0" borderId="9" xfId="0" applyNumberFormat="1" applyBorder="1"/>
    <xf numFmtId="0" fontId="0" fillId="0" borderId="10" xfId="0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Tsiky" refreshedDate="46049.675015277775" refreshedVersion="8" recordCount="20" xr:uid="{00000000-000A-0000-FFFF-FFFF00000000}">
  <cacheSource type="worksheet">
    <worksheetSource ref="B1:K993" sheet="liste des taches"/>
  </cacheSource>
  <cacheFields count="10">
    <cacheField name="Catégorie" numFmtId="0">
      <sharedItems containsBlank="1"/>
    </cacheField>
    <cacheField name="Module" numFmtId="0">
      <sharedItems containsBlank="1"/>
    </cacheField>
    <cacheField name="Page" numFmtId="0">
      <sharedItems containsBlank="1"/>
    </cacheField>
    <cacheField name="Description tâche" numFmtId="0">
      <sharedItems containsBlank="1"/>
    </cacheField>
    <cacheField name="Type" numFmtId="0">
      <sharedItems containsBlank="1"/>
    </cacheField>
    <cacheField name="Qui" numFmtId="0">
      <sharedItems containsBlank="1" count="5">
        <s v="ETU00YYYY"/>
        <s v="ETU00XXXX"/>
        <s v="ETU00ZZZZ"/>
        <s v="ETU00WWWW"/>
        <m/>
      </sharedItems>
    </cacheField>
    <cacheField name="Estimation" numFmtId="0">
      <sharedItems containsString="0" containsBlank="1" containsNumber="1" containsInteger="1" minValue="5" maxValue="50"/>
    </cacheField>
    <cacheField name="Temps passé" numFmtId="0">
      <sharedItems containsString="0" containsBlank="1" containsNumber="1" containsInteger="1" minValue="0" maxValue="90"/>
    </cacheField>
    <cacheField name="Reste à faire" numFmtId="0">
      <sharedItems containsString="0" containsBlank="1" containsNumber="1" containsInteger="1" minValue="0" maxValue="40"/>
    </cacheField>
    <cacheField name="Avancement" numFmtId="0">
      <sharedItems containsString="0" containsBlank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Backoffice"/>
    <s v="Gestion Login"/>
    <s v="Index"/>
    <s v="Création html"/>
    <s v="Affichage"/>
    <x v="0"/>
    <n v="30"/>
    <n v="20"/>
    <n v="10"/>
    <n v="0.66666666666666663"/>
  </r>
  <r>
    <s v="Backoffice"/>
    <s v="Gestion Login"/>
    <s v="Index"/>
    <s v="Design css"/>
    <s v="Metier"/>
    <x v="1"/>
    <n v="20"/>
    <n v="0"/>
    <n v="20"/>
    <n v="0"/>
  </r>
  <r>
    <s v="Backoffice"/>
    <s v="Gestion Login"/>
    <s v="Index"/>
    <s v="checkLogin"/>
    <s v="Integration"/>
    <x v="1"/>
    <n v="30"/>
    <n v="10"/>
    <n v="20"/>
    <n v="0.33333333333333331"/>
  </r>
  <r>
    <s v="Backoffice"/>
    <s v="Gestion Categorie"/>
    <s v="Categorie"/>
    <s v="table login"/>
    <s v="Affichage"/>
    <x v="2"/>
    <n v="10"/>
    <n v="0"/>
    <n v="10"/>
    <n v="0"/>
  </r>
  <r>
    <s v="Backoffice"/>
    <s v="Gestion Categorie"/>
    <s v="Categorie"/>
    <s v="données test"/>
    <s v="Metier"/>
    <x v="2"/>
    <n v="50"/>
    <n v="10"/>
    <n v="40"/>
    <n v="0.2"/>
  </r>
  <r>
    <s v="Backoffice"/>
    <s v="Gestion Categorie"/>
    <s v="Categorie"/>
    <s v="Liste"/>
    <s v="Integration"/>
    <x v="3"/>
    <n v="25"/>
    <n v="0"/>
    <n v="25"/>
    <n v="0"/>
  </r>
  <r>
    <s v="Backoffice"/>
    <s v="Gestion Categorie"/>
    <s v="Categorie-add"/>
    <s v="Ajout"/>
    <s v="Affichage"/>
    <x v="0"/>
    <n v="10"/>
    <n v="90"/>
    <n v="0"/>
    <n v="1"/>
  </r>
  <r>
    <s v="Backoffice"/>
    <s v="Gestion Categorie"/>
    <s v="Categorie-add"/>
    <s v="Ajout"/>
    <s v="Metier"/>
    <x v="3"/>
    <n v="5"/>
    <n v="30"/>
    <n v="0"/>
    <n v="1"/>
  </r>
  <r>
    <s v="Backoffice"/>
    <s v="Gestion Categorie"/>
    <s v="Categorie-add"/>
    <s v="Ajout"/>
    <s v="Base"/>
    <x v="3"/>
    <n v="5"/>
    <n v="0"/>
    <n v="5"/>
    <n v="0"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Recap" cacheId="4" applyNumberFormats="0" applyBorderFormats="0" applyFontFormats="0" applyPatternFormats="0" applyAlignmentFormats="0" applyWidthHeightFormats="0" dataCaption="" updatedVersion="8" compact="0" compactData="0">
  <location ref="A1:D8" firstHeaderRow="1" firstDataRow="2" firstDataCol="1"/>
  <pivotFields count="10">
    <pivotField name="Catégorie" compact="0" outline="0" multipleItemSelectionAllowed="1" showAll="0"/>
    <pivotField name="Module" compact="0" outline="0" multipleItemSelectionAllowed="1" showAll="0"/>
    <pivotField name="Page" compact="0" outline="0" multipleItemSelectionAllowed="1" showAll="0"/>
    <pivotField name="Description tâche" compact="0" outline="0" multipleItemSelectionAllowed="1" showAll="0"/>
    <pivotField name="Type" compact="0" outline="0" multipleItemSelectionAllowed="1" showAll="0"/>
    <pivotField name="Qui" axis="axisRow" compact="0" outline="0" multipleItemSelectionAllowed="1" showAll="0" sortType="ascending">
      <items count="6">
        <item x="3"/>
        <item x="1"/>
        <item x="0"/>
        <item x="2"/>
        <item x="4"/>
        <item t="default"/>
      </items>
    </pivotField>
    <pivotField name="Estimation" dataField="1" compact="0" outline="0" multipleItemSelectionAllowed="1" showAll="0"/>
    <pivotField name="Temps passé" dataField="1" compact="0" outline="0" multipleItemSelectionAllowed="1" showAll="0"/>
    <pivotField name="Reste à faire" dataField="1" compact="0" outline="0" multipleItemSelectionAllowed="1" showAll="0"/>
    <pivotField name="Avancement" compact="0" numFmtId="10" outline="0" multipleItemSelectionAllowe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ion" fld="6" baseField="0"/>
    <dataField name="SUM of Temps passé" fld="7" baseField="0"/>
    <dataField name="SUM of Reste à faire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workbookViewId="0"/>
  </sheetViews>
  <sheetFormatPr defaultColWidth="12.6640625" defaultRowHeight="15.75" customHeight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0"/>
  <sheetViews>
    <sheetView tabSelected="1" workbookViewId="0">
      <selection activeCell="E10" sqref="E10"/>
    </sheetView>
  </sheetViews>
  <sheetFormatPr defaultColWidth="12.6640625" defaultRowHeight="15.75" customHeight="1"/>
  <cols>
    <col min="1" max="1" width="5.88671875" customWidth="1"/>
    <col min="2" max="2" width="19" customWidth="1"/>
    <col min="3" max="3" width="18" customWidth="1"/>
    <col min="5" max="5" width="16.33203125" customWidth="1"/>
  </cols>
  <sheetData>
    <row r="1" spans="1:11">
      <c r="A1" s="2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</row>
    <row r="2" spans="1:11">
      <c r="A2" s="5">
        <v>1</v>
      </c>
      <c r="B2" s="5" t="s">
        <v>18</v>
      </c>
      <c r="C2" s="6" t="s">
        <v>19</v>
      </c>
      <c r="D2" s="6" t="s">
        <v>20</v>
      </c>
      <c r="E2" s="7" t="s">
        <v>21</v>
      </c>
      <c r="F2" s="7" t="s">
        <v>22</v>
      </c>
      <c r="G2" s="6" t="s">
        <v>2</v>
      </c>
      <c r="H2" s="6">
        <v>30</v>
      </c>
      <c r="I2" s="8">
        <f>detail_avancement!B2</f>
        <v>20</v>
      </c>
      <c r="J2" s="8">
        <f t="shared" ref="J2:J7" si="0">H2-I2</f>
        <v>10</v>
      </c>
      <c r="K2" s="9">
        <f t="shared" ref="K2:K10" si="1">(I2/(I2+J2))</f>
        <v>0.66666666666666663</v>
      </c>
    </row>
    <row r="3" spans="1:11">
      <c r="A3" s="5">
        <v>2</v>
      </c>
      <c r="B3" s="5" t="s">
        <v>18</v>
      </c>
      <c r="C3" s="7" t="s">
        <v>19</v>
      </c>
      <c r="D3" s="6" t="s">
        <v>20</v>
      </c>
      <c r="E3" s="7" t="s">
        <v>23</v>
      </c>
      <c r="F3" s="7" t="s">
        <v>24</v>
      </c>
      <c r="G3" s="6" t="s">
        <v>0</v>
      </c>
      <c r="H3" s="6">
        <v>20</v>
      </c>
      <c r="I3" s="8">
        <f>detail_avancement!B3</f>
        <v>0</v>
      </c>
      <c r="J3" s="8">
        <f t="shared" si="0"/>
        <v>20</v>
      </c>
      <c r="K3" s="9">
        <f t="shared" si="1"/>
        <v>0</v>
      </c>
    </row>
    <row r="4" spans="1:11">
      <c r="A4" s="5">
        <v>3</v>
      </c>
      <c r="B4" s="5" t="s">
        <v>18</v>
      </c>
      <c r="C4" s="7" t="s">
        <v>19</v>
      </c>
      <c r="D4" s="6" t="s">
        <v>20</v>
      </c>
      <c r="E4" s="7" t="s">
        <v>25</v>
      </c>
      <c r="F4" s="7" t="s">
        <v>26</v>
      </c>
      <c r="G4" s="6" t="s">
        <v>0</v>
      </c>
      <c r="H4" s="6">
        <v>30</v>
      </c>
      <c r="I4" s="8">
        <f>detail_avancement!B4</f>
        <v>10</v>
      </c>
      <c r="J4" s="8">
        <f t="shared" si="0"/>
        <v>20</v>
      </c>
      <c r="K4" s="9">
        <f t="shared" si="1"/>
        <v>0.33333333333333331</v>
      </c>
    </row>
    <row r="5" spans="1:11">
      <c r="A5" s="5">
        <v>4</v>
      </c>
      <c r="B5" s="5" t="s">
        <v>18</v>
      </c>
      <c r="C5" s="7" t="s">
        <v>27</v>
      </c>
      <c r="D5" s="6" t="s">
        <v>28</v>
      </c>
      <c r="E5" s="7" t="s">
        <v>29</v>
      </c>
      <c r="F5" s="7" t="s">
        <v>22</v>
      </c>
      <c r="G5" s="6" t="s">
        <v>4</v>
      </c>
      <c r="H5" s="6">
        <v>10</v>
      </c>
      <c r="I5" s="8">
        <f>detail_avancement!B5</f>
        <v>0</v>
      </c>
      <c r="J5" s="8">
        <f t="shared" si="0"/>
        <v>10</v>
      </c>
      <c r="K5" s="9">
        <f t="shared" si="1"/>
        <v>0</v>
      </c>
    </row>
    <row r="6" spans="1:11">
      <c r="A6" s="5">
        <v>5</v>
      </c>
      <c r="B6" s="5" t="s">
        <v>18</v>
      </c>
      <c r="C6" s="7" t="s">
        <v>27</v>
      </c>
      <c r="D6" s="6" t="s">
        <v>28</v>
      </c>
      <c r="E6" s="7" t="s">
        <v>30</v>
      </c>
      <c r="F6" s="7" t="s">
        <v>24</v>
      </c>
      <c r="G6" s="6" t="s">
        <v>4</v>
      </c>
      <c r="H6" s="6">
        <v>50</v>
      </c>
      <c r="I6" s="8">
        <f>detail_avancement!B6</f>
        <v>10</v>
      </c>
      <c r="J6" s="8">
        <f t="shared" si="0"/>
        <v>40</v>
      </c>
      <c r="K6" s="9">
        <f t="shared" si="1"/>
        <v>0.2</v>
      </c>
    </row>
    <row r="7" spans="1:11">
      <c r="A7" s="5">
        <v>6</v>
      </c>
      <c r="B7" s="5" t="s">
        <v>18</v>
      </c>
      <c r="C7" s="7" t="s">
        <v>27</v>
      </c>
      <c r="D7" s="6" t="s">
        <v>28</v>
      </c>
      <c r="E7" s="7" t="s">
        <v>31</v>
      </c>
      <c r="F7" s="7" t="s">
        <v>26</v>
      </c>
      <c r="G7" s="6" t="s">
        <v>6</v>
      </c>
      <c r="H7" s="6">
        <v>25</v>
      </c>
      <c r="I7" s="8">
        <f>detail_avancement!B7</f>
        <v>0</v>
      </c>
      <c r="J7" s="8">
        <f t="shared" si="0"/>
        <v>25</v>
      </c>
      <c r="K7" s="9">
        <f t="shared" si="1"/>
        <v>0</v>
      </c>
    </row>
    <row r="8" spans="1:11">
      <c r="A8" s="5">
        <v>7</v>
      </c>
      <c r="B8" s="5" t="s">
        <v>18</v>
      </c>
      <c r="C8" s="7" t="s">
        <v>27</v>
      </c>
      <c r="D8" s="6" t="s">
        <v>32</v>
      </c>
      <c r="E8" s="7" t="s">
        <v>33</v>
      </c>
      <c r="F8" s="7" t="s">
        <v>22</v>
      </c>
      <c r="G8" s="6" t="s">
        <v>2</v>
      </c>
      <c r="H8" s="6">
        <v>10</v>
      </c>
      <c r="I8" s="8">
        <f>detail_avancement!B8</f>
        <v>90</v>
      </c>
      <c r="J8" s="8">
        <v>0</v>
      </c>
      <c r="K8" s="9">
        <f t="shared" si="1"/>
        <v>1</v>
      </c>
    </row>
    <row r="9" spans="1:11">
      <c r="A9" s="5">
        <v>8</v>
      </c>
      <c r="B9" s="5" t="s">
        <v>18</v>
      </c>
      <c r="C9" s="7" t="s">
        <v>27</v>
      </c>
      <c r="D9" s="6" t="s">
        <v>32</v>
      </c>
      <c r="E9" s="7" t="s">
        <v>33</v>
      </c>
      <c r="F9" s="7" t="s">
        <v>24</v>
      </c>
      <c r="G9" s="41" t="s">
        <v>6</v>
      </c>
      <c r="H9" s="6">
        <v>5</v>
      </c>
      <c r="I9" s="8">
        <f>detail_avancement!B9</f>
        <v>30</v>
      </c>
      <c r="J9" s="8">
        <v>0</v>
      </c>
      <c r="K9" s="9">
        <f t="shared" si="1"/>
        <v>1</v>
      </c>
    </row>
    <row r="10" spans="1:11">
      <c r="A10" s="5">
        <v>9</v>
      </c>
      <c r="B10" s="5" t="s">
        <v>18</v>
      </c>
      <c r="C10" s="7" t="s">
        <v>27</v>
      </c>
      <c r="D10" s="6" t="s">
        <v>32</v>
      </c>
      <c r="E10" s="7" t="s">
        <v>33</v>
      </c>
      <c r="F10" s="6" t="s">
        <v>34</v>
      </c>
      <c r="G10" s="6" t="s">
        <v>6</v>
      </c>
      <c r="H10" s="6">
        <v>5</v>
      </c>
      <c r="I10" s="8">
        <f>detail_avancement!B10</f>
        <v>0</v>
      </c>
      <c r="J10" s="8">
        <f>H10-I10</f>
        <v>5</v>
      </c>
      <c r="K10" s="9">
        <f t="shared" si="1"/>
        <v>0</v>
      </c>
    </row>
    <row r="11" spans="1: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2"/>
  <sheetViews>
    <sheetView showGridLines="0" workbookViewId="0"/>
  </sheetViews>
  <sheetFormatPr defaultColWidth="12.6640625" defaultRowHeight="15.75" customHeight="1"/>
  <sheetData>
    <row r="1" spans="1:4">
      <c r="A1" s="24"/>
      <c r="B1" s="25" t="s">
        <v>42</v>
      </c>
      <c r="C1" s="26"/>
      <c r="D1" s="27"/>
    </row>
    <row r="2" spans="1:4">
      <c r="A2" s="25" t="s">
        <v>13</v>
      </c>
      <c r="B2" s="24" t="s">
        <v>43</v>
      </c>
      <c r="C2" s="28" t="s">
        <v>44</v>
      </c>
      <c r="D2" s="29" t="s">
        <v>45</v>
      </c>
    </row>
    <row r="3" spans="1:4">
      <c r="A3" s="24" t="s">
        <v>6</v>
      </c>
      <c r="B3" s="30">
        <v>35</v>
      </c>
      <c r="C3" s="31">
        <v>30</v>
      </c>
      <c r="D3" s="32">
        <v>30</v>
      </c>
    </row>
    <row r="4" spans="1:4">
      <c r="A4" s="33" t="s">
        <v>0</v>
      </c>
      <c r="B4" s="34">
        <v>50</v>
      </c>
      <c r="C4" s="35">
        <v>10</v>
      </c>
      <c r="D4" s="36">
        <v>40</v>
      </c>
    </row>
    <row r="5" spans="1:4">
      <c r="A5" s="33" t="s">
        <v>2</v>
      </c>
      <c r="B5" s="34">
        <v>40</v>
      </c>
      <c r="C5" s="35">
        <v>110</v>
      </c>
      <c r="D5" s="36">
        <v>10</v>
      </c>
    </row>
    <row r="6" spans="1:4">
      <c r="A6" s="33" t="s">
        <v>4</v>
      </c>
      <c r="B6" s="34">
        <v>60</v>
      </c>
      <c r="C6" s="35">
        <v>10</v>
      </c>
      <c r="D6" s="36">
        <v>50</v>
      </c>
    </row>
    <row r="7" spans="1:4">
      <c r="A7" s="33" t="s">
        <v>46</v>
      </c>
      <c r="B7" s="34"/>
      <c r="C7" s="35"/>
      <c r="D7" s="36"/>
    </row>
    <row r="8" spans="1:4" ht="15.75" customHeight="1">
      <c r="A8" s="37" t="s">
        <v>47</v>
      </c>
      <c r="B8" s="38">
        <v>185</v>
      </c>
      <c r="C8" s="39">
        <v>160</v>
      </c>
      <c r="D8" s="40">
        <v>130</v>
      </c>
    </row>
    <row r="12" spans="1:4">
      <c r="A12" s="12" t="s">
        <v>17</v>
      </c>
      <c r="B12" s="13">
        <f>avancement!D2</f>
        <v>0.55172413793103448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"/>
  <sheetViews>
    <sheetView workbookViewId="0"/>
  </sheetViews>
  <sheetFormatPr defaultColWidth="12.6640625" defaultRowHeight="15.75" customHeight="1"/>
  <cols>
    <col min="1" max="1" width="15.77734375" customWidth="1"/>
    <col min="2" max="2" width="17.88671875" customWidth="1"/>
    <col min="3" max="3" width="17" customWidth="1"/>
    <col min="4" max="4" width="18.21875" customWidth="1"/>
    <col min="5" max="5" width="13.77734375" customWidth="1"/>
  </cols>
  <sheetData>
    <row r="1" spans="1:5" ht="15.75" customHeight="1">
      <c r="A1" s="14" t="s">
        <v>35</v>
      </c>
      <c r="B1" s="14" t="s">
        <v>36</v>
      </c>
      <c r="C1" s="14" t="s">
        <v>37</v>
      </c>
      <c r="D1" s="14" t="s">
        <v>38</v>
      </c>
      <c r="E1" s="14" t="s">
        <v>39</v>
      </c>
    </row>
    <row r="2" spans="1:5" ht="15.75" customHeight="1">
      <c r="A2" s="15">
        <f>SUM('liste des taches'!H:H)</f>
        <v>185</v>
      </c>
      <c r="B2" s="15">
        <f>SUM('liste des taches'!I:I)</f>
        <v>160</v>
      </c>
      <c r="C2" s="15">
        <f>SUM('liste des taches'!J:J)</f>
        <v>130</v>
      </c>
      <c r="D2" s="16">
        <f>(B2/(B2+C2))</f>
        <v>0.55172413793103448</v>
      </c>
      <c r="E2" s="17">
        <f>((B2+C2)-A2)/A2</f>
        <v>0.56756756756756754</v>
      </c>
    </row>
    <row r="3" spans="1:5" ht="15.75" customHeight="1">
      <c r="A3" s="18"/>
      <c r="B3" s="18"/>
      <c r="C3" s="15">
        <f>C2/60</f>
        <v>2.1666666666666665</v>
      </c>
      <c r="D3" s="18" t="s">
        <v>40</v>
      </c>
      <c r="E3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"/>
  <sheetViews>
    <sheetView workbookViewId="0"/>
  </sheetViews>
  <sheetFormatPr defaultColWidth="12.6640625" defaultRowHeight="15.75" customHeight="1"/>
  <sheetData>
    <row r="1" spans="1:5" ht="15.75" customHeight="1">
      <c r="A1" s="19" t="s">
        <v>7</v>
      </c>
      <c r="B1" s="20" t="s">
        <v>41</v>
      </c>
      <c r="C1" s="21">
        <v>46048</v>
      </c>
      <c r="D1" s="21">
        <v>46049</v>
      </c>
      <c r="E1" s="21">
        <v>46050</v>
      </c>
    </row>
    <row r="2" spans="1:5" ht="15.75" customHeight="1">
      <c r="A2" s="22">
        <v>1</v>
      </c>
      <c r="B2" s="15">
        <f t="shared" ref="B2:B10" si="0">SUM(D2:P2)</f>
        <v>20</v>
      </c>
      <c r="C2" s="18"/>
      <c r="D2" s="22">
        <v>20</v>
      </c>
      <c r="E2" s="18"/>
    </row>
    <row r="3" spans="1:5" ht="15.75" customHeight="1">
      <c r="A3" s="22">
        <v>2</v>
      </c>
      <c r="B3" s="15">
        <f t="shared" si="0"/>
        <v>0</v>
      </c>
      <c r="C3" s="18"/>
      <c r="D3" s="18"/>
      <c r="E3" s="18"/>
    </row>
    <row r="4" spans="1:5" ht="15.75" customHeight="1">
      <c r="A4" s="22">
        <v>3</v>
      </c>
      <c r="B4" s="15">
        <f t="shared" si="0"/>
        <v>10</v>
      </c>
      <c r="C4" s="22">
        <v>20</v>
      </c>
      <c r="D4" s="22">
        <v>10</v>
      </c>
      <c r="E4" s="18"/>
    </row>
    <row r="5" spans="1:5" ht="15.75" customHeight="1">
      <c r="A5" s="22">
        <v>4</v>
      </c>
      <c r="B5" s="15">
        <f t="shared" si="0"/>
        <v>0</v>
      </c>
      <c r="C5" s="18"/>
      <c r="D5" s="18"/>
      <c r="E5" s="18"/>
    </row>
    <row r="6" spans="1:5" ht="15.75" customHeight="1">
      <c r="A6" s="22">
        <v>5</v>
      </c>
      <c r="B6" s="15">
        <f t="shared" si="0"/>
        <v>10</v>
      </c>
      <c r="C6" s="18"/>
      <c r="D6" s="23">
        <v>10</v>
      </c>
      <c r="E6" s="18"/>
    </row>
    <row r="7" spans="1:5" ht="15.75" customHeight="1">
      <c r="A7" s="22">
        <v>6</v>
      </c>
      <c r="B7" s="15">
        <f t="shared" si="0"/>
        <v>0</v>
      </c>
      <c r="C7" s="18"/>
      <c r="D7" s="18"/>
      <c r="E7" s="18"/>
    </row>
    <row r="8" spans="1:5" ht="15.75" customHeight="1">
      <c r="A8" s="22">
        <v>7</v>
      </c>
      <c r="B8" s="15">
        <f t="shared" si="0"/>
        <v>90</v>
      </c>
      <c r="C8" s="18"/>
      <c r="D8" s="23">
        <v>90</v>
      </c>
      <c r="E8" s="18"/>
    </row>
    <row r="9" spans="1:5" ht="15.75" customHeight="1">
      <c r="A9" s="11">
        <v>8</v>
      </c>
      <c r="B9" s="15">
        <f t="shared" si="0"/>
        <v>30</v>
      </c>
      <c r="D9" s="11">
        <v>30</v>
      </c>
    </row>
    <row r="10" spans="1:5" ht="15.75" customHeight="1">
      <c r="A10" s="11">
        <v>9</v>
      </c>
      <c r="B10" s="15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groupe</vt:lpstr>
      <vt:lpstr>liste des taches</vt:lpstr>
      <vt:lpstr>Recap</vt:lpstr>
      <vt:lpstr>avancement</vt:lpstr>
      <vt:lpstr>detail_avancement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Tsiky</cp:lastModifiedBy>
  <dcterms:modified xsi:type="dcterms:W3CDTF">2026-01-27T14:09:59Z</dcterms:modified>
</cp:coreProperties>
</file>